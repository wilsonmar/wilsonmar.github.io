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ar/gmail_acct/wilsonmar.github.io/docs/"/>
    </mc:Choice>
  </mc:AlternateContent>
  <xr:revisionPtr revIDLastSave="0" documentId="13_ncr:1_{01B30FD2-9DB6-114D-BF1D-EFE473FA082C}" xr6:coauthVersionLast="36" xr6:coauthVersionMax="36" xr10:uidLastSave="{00000000-0000-0000-0000-000000000000}"/>
  <bookViews>
    <workbookView xWindow="0" yWindow="0" windowWidth="25600" windowHeight="16000" xr2:uid="{8E379CFF-0729-5441-9FF8-A7AE69E37479}"/>
  </bookViews>
  <sheets>
    <sheet name="Sheet1" sheetId="1" r:id="rId1"/>
    <sheet name="Calc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6" i="2"/>
  <c r="C7" i="2"/>
  <c r="C3" i="2"/>
  <c r="H4" i="2"/>
  <c r="H5" i="2"/>
  <c r="H6" i="2"/>
  <c r="H7" i="2"/>
  <c r="H3" i="2"/>
  <c r="G4" i="2"/>
  <c r="G5" i="2"/>
  <c r="G6" i="2"/>
  <c r="G7" i="2"/>
  <c r="G3" i="2"/>
  <c r="F4" i="2"/>
  <c r="F5" i="2"/>
  <c r="F6" i="2"/>
  <c r="F7" i="2"/>
  <c r="F3" i="2"/>
  <c r="E4" i="2"/>
  <c r="E5" i="2"/>
  <c r="C5" i="2" s="1"/>
  <c r="E6" i="2"/>
  <c r="E7" i="2"/>
  <c r="E3" i="2"/>
  <c r="A11" i="2"/>
  <c r="B11" i="2"/>
  <c r="A12" i="2"/>
  <c r="B12" i="2"/>
  <c r="A13" i="2"/>
  <c r="B13" i="2"/>
  <c r="A14" i="2"/>
  <c r="B14" i="2"/>
  <c r="B10" i="2"/>
  <c r="A10" i="2"/>
  <c r="E5" i="1" l="1"/>
  <c r="E7" i="1"/>
  <c r="E3" i="1"/>
  <c r="E4" i="1"/>
  <c r="E6" i="1"/>
</calcChain>
</file>

<file path=xl/sharedStrings.xml><?xml version="1.0" encoding="utf-8"?>
<sst xmlns="http://schemas.openxmlformats.org/spreadsheetml/2006/main" count="25" uniqueCount="20">
  <si>
    <t>Operational Excellence</t>
  </si>
  <si>
    <t>Security</t>
  </si>
  <si>
    <t>Reliability</t>
  </si>
  <si>
    <t>Performance Efficiency</t>
  </si>
  <si>
    <t>Cost Optimization</t>
  </si>
  <si>
    <t>Now: 2021-Q4</t>
  </si>
  <si>
    <t>Delta:</t>
  </si>
  <si>
    <t>Next:2022-Q1</t>
  </si>
  <si>
    <t>Radar Chart for Well-Architected Pillars</t>
  </si>
  <si>
    <t>of {system X} in AWS</t>
  </si>
  <si>
    <t>Person A</t>
  </si>
  <si>
    <t>Person B</t>
  </si>
  <si>
    <t>Person C</t>
  </si>
  <si>
    <t>Person D</t>
  </si>
  <si>
    <t>Person E</t>
  </si>
  <si>
    <t>Average</t>
  </si>
  <si>
    <t>Generated:</t>
  </si>
  <si>
    <t>Now</t>
  </si>
  <si>
    <t>...</t>
  </si>
  <si>
    <t>Initial opinions of Now: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</si>
</sst>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i/>
      <u/>
      <sz val="12"/>
      <color rgb="FFFF0000"/>
      <name val="Calibri"/>
      <family val="2"/>
      <scheme val="minor"/>
    </font>
    <font>
      <i/>
      <u/>
      <sz val="12"/>
      <color theme="0" tint="-0.499984740745262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9" fontId="0" fillId="0" borderId="0" xfId="1" applyFont="1"/>
    <xf numFmtId="9" fontId="3" fillId="0" borderId="0" xfId="1" applyFont="1"/>
    <xf numFmtId="0" fontId="5" fillId="0" borderId="0" xfId="0" applyFont="1"/>
    <xf numFmtId="9" fontId="5" fillId="0" borderId="0" xfId="1" applyFont="1"/>
    <xf numFmtId="9" fontId="6" fillId="0" borderId="0" xfId="1" applyFont="1" applyAlignment="1">
      <alignment horizontal="right"/>
    </xf>
    <xf numFmtId="9" fontId="0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9" fontId="4" fillId="0" borderId="0" xfId="1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9" fontId="11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Radar Chart for Well-Architected Pillars</a:t>
            </a:r>
            <a:br>
              <a:rPr lang="en-US" sz="2000"/>
            </a:br>
            <a:r>
              <a:rPr lang="en-US" sz="2000"/>
              <a:t>of {system X} in AWS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100848530717395"/>
          <c:y val="0.21166916798585553"/>
          <c:w val="0.33212235998339851"/>
          <c:h val="0.61283399848991482"/>
        </c:manualLayout>
      </c:layout>
      <c:radarChart>
        <c:radarStyle val="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Now: 2021-Q4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Sheet1!$B$3:$B$7</c:f>
              <c:strCache>
                <c:ptCount val="5"/>
                <c:pt idx="0">
                  <c:v>Security</c:v>
                </c:pt>
                <c:pt idx="1">
                  <c:v>Reliability</c:v>
                </c:pt>
                <c:pt idx="2">
                  <c:v>Operational Excellence</c:v>
                </c:pt>
                <c:pt idx="3">
                  <c:v>Performance Efficiency</c:v>
                </c:pt>
                <c:pt idx="4">
                  <c:v>Cost Optimization</c:v>
                </c:pt>
              </c:strCache>
            </c:strRef>
          </c:cat>
          <c:val>
            <c:numRef>
              <c:f>Sheet1!$C$3:$C$7</c:f>
              <c:numCache>
                <c:formatCode>0%</c:formatCode>
                <c:ptCount val="5"/>
                <c:pt idx="0">
                  <c:v>0.5</c:v>
                </c:pt>
                <c:pt idx="1">
                  <c:v>0.4</c:v>
                </c:pt>
                <c:pt idx="2">
                  <c:v>0.4</c:v>
                </c:pt>
                <c:pt idx="3">
                  <c:v>0.35000000000000003</c:v>
                </c:pt>
                <c:pt idx="4">
                  <c:v>0.70000000000000007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C-2C49-8F0F-77FA8D29F9F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Next:2022-Q1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Sheet1!$B$3:$B$7</c:f>
              <c:strCache>
                <c:ptCount val="5"/>
                <c:pt idx="0">
                  <c:v>Security</c:v>
                </c:pt>
                <c:pt idx="1">
                  <c:v>Reliability</c:v>
                </c:pt>
                <c:pt idx="2">
                  <c:v>Operational Excellence</c:v>
                </c:pt>
                <c:pt idx="3">
                  <c:v>Performance Efficiency</c:v>
                </c:pt>
                <c:pt idx="4">
                  <c:v>Cost Optimization</c:v>
                </c:pt>
              </c:strCache>
            </c:strRef>
          </c:cat>
          <c:val>
            <c:numRef>
              <c:f>Sheet1!$D$3:$D$7</c:f>
              <c:numCache>
                <c:formatCode>0%</c:formatCode>
                <c:ptCount val="5"/>
                <c:pt idx="0">
                  <c:v>0.85</c:v>
                </c:pt>
                <c:pt idx="1">
                  <c:v>0.75</c:v>
                </c:pt>
                <c:pt idx="2">
                  <c:v>0.5</c:v>
                </c:pt>
                <c:pt idx="3">
                  <c:v>0.5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C-2C49-8F0F-77FA8D29F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21344"/>
        <c:axId val="195550176"/>
      </c:radarChart>
      <c:catAx>
        <c:axId val="1972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50176"/>
        <c:crosses val="autoZero"/>
        <c:auto val="1"/>
        <c:lblAlgn val="ctr"/>
        <c:lblOffset val="100"/>
        <c:noMultiLvlLbl val="0"/>
      </c:catAx>
      <c:valAx>
        <c:axId val="1955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4.4758467113976748E-2"/>
          <c:y val="0.22093706955037931"/>
          <c:w val="0.20858675244152705"/>
          <c:h val="0.12558343220796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0</xdr:row>
      <xdr:rowOff>0</xdr:rowOff>
    </xdr:from>
    <xdr:to>
      <xdr:col>13</xdr:col>
      <xdr:colOff>355600</xdr:colOff>
      <xdr:row>22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61FD31-2BC9-6548-BBF7-C7E533F9F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3A56-BA96-A740-8081-7D2495C7B5BA}">
  <dimension ref="A1:E7"/>
  <sheetViews>
    <sheetView tabSelected="1" workbookViewId="0">
      <selection activeCell="C6" sqref="C6"/>
    </sheetView>
  </sheetViews>
  <sheetFormatPr baseColWidth="10" defaultRowHeight="16" x14ac:dyDescent="0.2"/>
  <cols>
    <col min="1" max="1" width="4" customWidth="1"/>
    <col min="2" max="2" width="23.1640625" customWidth="1"/>
    <col min="3" max="4" width="12.5" style="2" bestFit="1" customWidth="1"/>
    <col min="5" max="5" width="6.6640625" style="2" bestFit="1" customWidth="1"/>
  </cols>
  <sheetData>
    <row r="1" spans="1:5" x14ac:dyDescent="0.2">
      <c r="B1" s="1" t="s">
        <v>8</v>
      </c>
    </row>
    <row r="2" spans="1:5" ht="34" customHeight="1" x14ac:dyDescent="0.2">
      <c r="B2" s="4" t="s">
        <v>9</v>
      </c>
      <c r="C2" s="5" t="s">
        <v>5</v>
      </c>
      <c r="D2" s="5" t="s">
        <v>7</v>
      </c>
      <c r="E2" s="6" t="s">
        <v>6</v>
      </c>
    </row>
    <row r="3" spans="1:5" x14ac:dyDescent="0.2">
      <c r="A3">
        <v>1</v>
      </c>
      <c r="B3" t="s">
        <v>1</v>
      </c>
      <c r="C3" s="2">
        <v>0.5</v>
      </c>
      <c r="D3" s="2">
        <v>0.85</v>
      </c>
      <c r="E3" s="3">
        <f t="shared" ref="E3:E7" si="0">D3-C3</f>
        <v>0.35</v>
      </c>
    </row>
    <row r="4" spans="1:5" x14ac:dyDescent="0.2">
      <c r="A4">
        <v>2</v>
      </c>
      <c r="B4" t="s">
        <v>2</v>
      </c>
      <c r="C4" s="2">
        <v>0.4</v>
      </c>
      <c r="D4" s="2">
        <v>0.75</v>
      </c>
      <c r="E4" s="3">
        <f t="shared" si="0"/>
        <v>0.35</v>
      </c>
    </row>
    <row r="5" spans="1:5" x14ac:dyDescent="0.2">
      <c r="A5">
        <v>3</v>
      </c>
      <c r="B5" t="s">
        <v>0</v>
      </c>
      <c r="C5" s="2">
        <v>0.4</v>
      </c>
      <c r="D5" s="2">
        <v>0.5</v>
      </c>
      <c r="E5" s="3">
        <f>D5-C5</f>
        <v>9.9999999999999978E-2</v>
      </c>
    </row>
    <row r="6" spans="1:5" x14ac:dyDescent="0.2">
      <c r="A6">
        <v>4</v>
      </c>
      <c r="B6" t="s">
        <v>3</v>
      </c>
      <c r="C6" s="2">
        <v>0.35000000000000003</v>
      </c>
      <c r="D6" s="2">
        <v>0.5</v>
      </c>
      <c r="E6" s="3">
        <f t="shared" si="0"/>
        <v>0.14999999999999997</v>
      </c>
    </row>
    <row r="7" spans="1:5" x14ac:dyDescent="0.2">
      <c r="A7">
        <v>5</v>
      </c>
      <c r="B7" t="s">
        <v>4</v>
      </c>
      <c r="C7" s="2">
        <v>0.70000000000000007</v>
      </c>
      <c r="D7" s="2">
        <v>0.9</v>
      </c>
      <c r="E7" s="3">
        <f t="shared" si="0"/>
        <v>0.19999999999999996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3759-CB80-A74E-A6DE-EE7A02967881}">
  <dimension ref="A2:I14"/>
  <sheetViews>
    <sheetView workbookViewId="0">
      <selection activeCell="E13" sqref="E13"/>
    </sheetView>
  </sheetViews>
  <sheetFormatPr baseColWidth="10" defaultRowHeight="16" x14ac:dyDescent="0.2"/>
  <cols>
    <col min="1" max="1" width="4.5" customWidth="1"/>
    <col min="2" max="2" width="22.33203125" customWidth="1"/>
    <col min="3" max="3" width="10.83203125" style="10"/>
    <col min="4" max="7" width="10.83203125" style="7"/>
    <col min="8" max="8" width="10.83203125" style="2"/>
  </cols>
  <sheetData>
    <row r="2" spans="1:9" x14ac:dyDescent="0.2">
      <c r="B2" s="8" t="s">
        <v>19</v>
      </c>
      <c r="C2" s="13" t="s">
        <v>15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18</v>
      </c>
    </row>
    <row r="3" spans="1:9" x14ac:dyDescent="0.2">
      <c r="A3">
        <v>1</v>
      </c>
      <c r="B3" t="s">
        <v>1</v>
      </c>
      <c r="C3" s="14">
        <f>AVERAGE(D3:I3)</f>
        <v>0.8600000000000001</v>
      </c>
      <c r="D3" s="2">
        <v>0.8</v>
      </c>
      <c r="E3" s="7">
        <f>D3+0.1</f>
        <v>0.9</v>
      </c>
      <c r="F3" s="7">
        <f>D3-0.1</f>
        <v>0.70000000000000007</v>
      </c>
      <c r="G3" s="7">
        <f>D3+0.15</f>
        <v>0.95000000000000007</v>
      </c>
      <c r="H3" s="2">
        <f>D3+0.15</f>
        <v>0.95000000000000007</v>
      </c>
    </row>
    <row r="4" spans="1:9" x14ac:dyDescent="0.2">
      <c r="A4">
        <v>2</v>
      </c>
      <c r="B4" t="s">
        <v>2</v>
      </c>
      <c r="C4" s="14">
        <f>AVERAGE(D4:I4)</f>
        <v>0.46000000000000008</v>
      </c>
      <c r="D4" s="2">
        <v>0.4</v>
      </c>
      <c r="E4" s="7">
        <f t="shared" ref="E4:E7" si="0">D4+0.1</f>
        <v>0.5</v>
      </c>
      <c r="F4" s="7">
        <f t="shared" ref="F4:F7" si="1">D4-0.1</f>
        <v>0.30000000000000004</v>
      </c>
      <c r="G4" s="7">
        <f t="shared" ref="G4:G7" si="2">D4+0.15</f>
        <v>0.55000000000000004</v>
      </c>
      <c r="H4" s="2">
        <f t="shared" ref="H4:H7" si="3">D4+0.15</f>
        <v>0.55000000000000004</v>
      </c>
    </row>
    <row r="5" spans="1:9" x14ac:dyDescent="0.2">
      <c r="A5">
        <v>3</v>
      </c>
      <c r="B5" t="s">
        <v>0</v>
      </c>
      <c r="C5" s="14">
        <f>AVERAGE(D5:I5)</f>
        <v>0.73000000000000009</v>
      </c>
      <c r="D5" s="2">
        <v>0.67</v>
      </c>
      <c r="E5" s="7">
        <f t="shared" si="0"/>
        <v>0.77</v>
      </c>
      <c r="F5" s="7">
        <f t="shared" si="1"/>
        <v>0.57000000000000006</v>
      </c>
      <c r="G5" s="7">
        <f t="shared" si="2"/>
        <v>0.82000000000000006</v>
      </c>
      <c r="H5" s="2">
        <f t="shared" si="3"/>
        <v>0.82000000000000006</v>
      </c>
    </row>
    <row r="6" spans="1:9" x14ac:dyDescent="0.2">
      <c r="A6">
        <v>4</v>
      </c>
      <c r="B6" t="s">
        <v>3</v>
      </c>
      <c r="C6" s="14">
        <f>AVERAGE(D6:I6)</f>
        <v>0.41</v>
      </c>
      <c r="D6" s="2">
        <v>0.35000000000000003</v>
      </c>
      <c r="E6" s="7">
        <f t="shared" si="0"/>
        <v>0.45000000000000007</v>
      </c>
      <c r="F6" s="7">
        <f t="shared" si="1"/>
        <v>0.25</v>
      </c>
      <c r="G6" s="7">
        <f t="shared" si="2"/>
        <v>0.5</v>
      </c>
      <c r="H6" s="2">
        <f t="shared" si="3"/>
        <v>0.5</v>
      </c>
    </row>
    <row r="7" spans="1:9" x14ac:dyDescent="0.2">
      <c r="A7">
        <v>5</v>
      </c>
      <c r="B7" t="s">
        <v>4</v>
      </c>
      <c r="C7" s="14">
        <f>AVERAGE(D7:I7)</f>
        <v>0.76</v>
      </c>
      <c r="D7" s="2">
        <v>0.70000000000000007</v>
      </c>
      <c r="E7" s="7">
        <f t="shared" si="0"/>
        <v>0.8</v>
      </c>
      <c r="F7" s="7">
        <f t="shared" si="1"/>
        <v>0.60000000000000009</v>
      </c>
      <c r="G7" s="7">
        <f t="shared" si="2"/>
        <v>0.85000000000000009</v>
      </c>
      <c r="H7" s="2">
        <f t="shared" si="3"/>
        <v>0.85000000000000009</v>
      </c>
    </row>
    <row r="9" spans="1:9" x14ac:dyDescent="0.2">
      <c r="B9" s="9" t="s">
        <v>16</v>
      </c>
      <c r="C9" s="12" t="s">
        <v>17</v>
      </c>
    </row>
    <row r="10" spans="1:9" x14ac:dyDescent="0.2">
      <c r="A10">
        <f>A3</f>
        <v>1</v>
      </c>
      <c r="B10" t="str">
        <f>B3</f>
        <v>Security</v>
      </c>
      <c r="C10" s="11">
        <v>0.5</v>
      </c>
    </row>
    <row r="11" spans="1:9" x14ac:dyDescent="0.2">
      <c r="A11">
        <f t="shared" ref="A11:B11" si="4">A4</f>
        <v>2</v>
      </c>
      <c r="B11" t="str">
        <f t="shared" si="4"/>
        <v>Reliability</v>
      </c>
      <c r="C11" s="11">
        <v>0.4</v>
      </c>
    </row>
    <row r="12" spans="1:9" x14ac:dyDescent="0.2">
      <c r="A12">
        <f t="shared" ref="A12:B12" si="5">A5</f>
        <v>3</v>
      </c>
      <c r="B12" t="str">
        <f t="shared" si="5"/>
        <v>Operational Excellence</v>
      </c>
      <c r="C12" s="11">
        <v>0.4</v>
      </c>
    </row>
    <row r="13" spans="1:9" x14ac:dyDescent="0.2">
      <c r="A13">
        <f t="shared" ref="A13:B13" si="6">A6</f>
        <v>4</v>
      </c>
      <c r="B13" t="str">
        <f t="shared" si="6"/>
        <v>Performance Efficiency</v>
      </c>
      <c r="C13" s="11">
        <v>0.35000000000000003</v>
      </c>
    </row>
    <row r="14" spans="1:9" x14ac:dyDescent="0.2">
      <c r="A14">
        <f t="shared" ref="A14:B14" si="7">A7</f>
        <v>5</v>
      </c>
      <c r="B14" t="str">
        <f t="shared" si="7"/>
        <v>Cost Optimization</v>
      </c>
      <c r="C14" s="11">
        <v>0.70000000000000007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Mar</dc:creator>
  <cp:lastModifiedBy>Wilson Mar</cp:lastModifiedBy>
  <dcterms:created xsi:type="dcterms:W3CDTF">2021-10-26T10:39:24Z</dcterms:created>
  <dcterms:modified xsi:type="dcterms:W3CDTF">2021-10-31T12:59:14Z</dcterms:modified>
</cp:coreProperties>
</file>